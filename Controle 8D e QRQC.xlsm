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o\Desktop\"/>
    </mc:Choice>
  </mc:AlternateContent>
  <xr:revisionPtr revIDLastSave="0" documentId="13_ncr:1_{57031874-D275-49F3-887D-EDBBF3614A33}" xr6:coauthVersionLast="47" xr6:coauthVersionMax="47" xr10:uidLastSave="{00000000-0000-0000-0000-000000000000}"/>
  <bookViews>
    <workbookView xWindow="-108" yWindow="-108" windowWidth="23256" windowHeight="12576" xr2:uid="{CB4EA4F1-FB59-481C-A539-5A6E1DEBCA08}"/>
  </bookViews>
  <sheets>
    <sheet name="Planilha1" sheetId="1" r:id="rId1"/>
    <sheet name="Planilha2" sheetId="2" r:id="rId2"/>
  </sheets>
  <definedNames>
    <definedName name="ID">Planilha1!$S$1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" i="1" l="1"/>
  <c r="AD1" i="1"/>
  <c r="O2" i="1"/>
</calcChain>
</file>

<file path=xl/sharedStrings.xml><?xml version="1.0" encoding="utf-8"?>
<sst xmlns="http://schemas.openxmlformats.org/spreadsheetml/2006/main" count="15" uniqueCount="15">
  <si>
    <t>ID</t>
  </si>
  <si>
    <t>Elaborador</t>
  </si>
  <si>
    <t xml:space="preserve">Data </t>
  </si>
  <si>
    <t xml:space="preserve">Assunto </t>
  </si>
  <si>
    <t xml:space="preserve">Descrição </t>
  </si>
  <si>
    <t xml:space="preserve">Empresa </t>
  </si>
  <si>
    <t xml:space="preserve">Responsavel </t>
  </si>
  <si>
    <t xml:space="preserve">Área </t>
  </si>
  <si>
    <t xml:space="preserve">Endereço </t>
  </si>
  <si>
    <t>E-mail</t>
  </si>
  <si>
    <t>Prazo</t>
  </si>
  <si>
    <t>Status</t>
  </si>
  <si>
    <t xml:space="preserve">Solução </t>
  </si>
  <si>
    <t>Arq</t>
  </si>
  <si>
    <t>Conclusão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</si>
</sst>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0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18327F-CE50-4B79-B2BE-BBF265F66C06}" name="Tabela1" displayName="Tabela1" ref="A1:O2" totalsRowShown="0" headerRowDxfId="16" dataDxfId="15">
  <autoFilter ref="A1:O2" xr:uid="{5618327F-CE50-4B79-B2BE-BBF265F66C06}"/>
  <tableColumns count="15">
    <tableColumn id="1" xr3:uid="{B9E878B5-AAE9-4373-8BFA-03C647A43AD1}" name="ID" dataDxfId="14"/>
    <tableColumn id="2" xr3:uid="{817BB90D-B085-4044-BAD6-026C36E14A73}" name="Elaborador" dataDxfId="13"/>
    <tableColumn id="3" xr3:uid="{B26FFB41-95B2-4497-AAE7-C604DC0D9EB1}" name="Data " dataDxfId="12"/>
    <tableColumn id="4" xr3:uid="{A3C14AE3-0EF3-4A09-AFAF-E585ADAE7DAE}" name="Assunto " dataDxfId="11"/>
    <tableColumn id="5" xr3:uid="{85352657-99A5-4787-84BE-78C3EA1AFB88}" name="Descrição " dataDxfId="10"/>
    <tableColumn id="6" xr3:uid="{5D43F128-2A8E-4BFA-9EC2-7DD6C18936CA}" name="Empresa " dataDxfId="9"/>
    <tableColumn id="7" xr3:uid="{CC445500-632A-402A-B6BE-17D6B19163F6}" name="Responsavel " dataDxfId="8"/>
    <tableColumn id="8" xr3:uid="{842252F9-A3E3-481E-843E-3A7266C947C7}" name="Área " dataDxfId="7"/>
    <tableColumn id="9" xr3:uid="{3FBDB06A-0316-4452-B65B-60D8212841E9}" name="Endereço " dataDxfId="6"/>
    <tableColumn id="10" xr3:uid="{19CAC67F-1363-4DA7-9A8C-33322EA10770}" name="E-mail" dataDxfId="5"/>
    <tableColumn id="11" xr3:uid="{8B822D0E-D8DE-4ADE-B361-F5A25DE175A3}" name="Prazo" dataDxfId="4"/>
    <tableColumn id="12" xr3:uid="{FC764016-1245-4E0D-A38B-6BCE57A64D04}" name="Conclusão" dataDxfId="3"/>
    <tableColumn id="13" xr3:uid="{FFDFDD39-40C0-475B-AF8D-6FB43A2DB3A3}" name="Solução " dataDxfId="2"/>
    <tableColumn id="14" xr3:uid="{8C66C185-4150-42D8-A21E-A9939051A799}" name="Arq" dataDxfId="1"/>
    <tableColumn id="15" xr3:uid="{A06EB532-7A0E-47B7-8650-7160C6229DC0}" name="Status" dataDxfId="0">
      <calculatedColumnFormula>IF(Tabela1[[#This Row],[Conclusão]]="","",IF(Tabela1[[#This Row],[Conclusão]]="Sim","Concluído",IF(K2-TODAY()&gt;=0,"Dentro do prazo","Vencido")))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97A18-CCD7-43EF-8828-8A4CAD46C971}">
  <sheetPr codeName="Planilha1"/>
  <dimension ref="A1:AE6"/>
  <sheetViews>
    <sheetView tabSelected="1" workbookViewId="0">
      <selection activeCell="E9" sqref="E9"/>
    </sheetView>
  </sheetViews>
  <sheetFormatPr defaultRowHeight="14.4" x14ac:dyDescent="0.3"/>
  <cols>
    <col min="1" max="1" width="10.5546875" style="2" bestFit="1" customWidth="1"/>
    <col min="2" max="2" width="12.88671875" style="2" bestFit="1" customWidth="1"/>
    <col min="3" max="3" width="9.6640625" style="2" bestFit="1" customWidth="1"/>
    <col min="4" max="4" width="10.88671875" style="2" bestFit="1" customWidth="1"/>
    <col min="5" max="5" width="12.109375" style="2" bestFit="1" customWidth="1"/>
    <col min="6" max="6" width="11.33203125" style="2" bestFit="1" customWidth="1"/>
    <col min="7" max="7" width="14.88671875" style="2" bestFit="1" customWidth="1"/>
    <col min="8" max="8" width="7.88671875" style="2" bestFit="1" customWidth="1"/>
    <col min="9" max="9" width="12" style="2" hidden="1" customWidth="1"/>
    <col min="10" max="10" width="8.88671875" style="2" hidden="1" customWidth="1"/>
    <col min="11" max="11" width="10.6640625" style="2" bestFit="1" customWidth="1"/>
    <col min="12" max="12" width="12.33203125" style="2" bestFit="1" customWidth="1"/>
    <col min="13" max="13" width="10.5546875" style="2" hidden="1" customWidth="1"/>
    <col min="14" max="14" width="6.44140625" style="2" hidden="1" customWidth="1"/>
    <col min="15" max="15" width="15.33203125" style="2" bestFit="1" customWidth="1"/>
    <col min="19" max="19" width="2" bestFit="1" customWidth="1"/>
    <col min="30" max="30" width="6.88671875" customWidth="1"/>
    <col min="31" max="31" width="9.5546875" customWidth="1"/>
  </cols>
  <sheetData>
    <row r="1" spans="1:3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14</v>
      </c>
      <c r="M1" s="2" t="s">
        <v>12</v>
      </c>
      <c r="N1" s="2" t="s">
        <v>13</v>
      </c>
      <c r="O1" s="2" t="s">
        <v>11</v>
      </c>
      <c r="S1" s="1">
        <v>1</v>
      </c>
      <c r="AD1">
        <f>COUNTIF(L:L,"Sim")</f>
        <v>0</v>
      </c>
      <c r="AE1">
        <f>COUNTIF(L:L,"Não")</f>
        <v>0</v>
      </c>
    </row>
    <row r="2" spans="1:31" x14ac:dyDescent="0.3">
      <c r="C2" s="3"/>
      <c r="K2" s="3"/>
      <c r="O2" s="4" t="str">
        <f ca="1">IF(Tabela1[[#This Row],[Conclusão]]="","",IF(Tabela1[[#This Row],[Conclusão]]="Sim","Concluído",IF(K2-TODAY()&gt;=0,"Dentro do prazo","Vencido")))</f>
        <v/>
      </c>
    </row>
    <row r="6" spans="1:31" x14ac:dyDescent="0.3">
      <c r="K6" s="3"/>
    </row>
  </sheetData>
  <sortState xmlns:xlrd2="http://schemas.microsoft.com/office/spreadsheetml/2017/richdata2" ref="A1:O2">
    <sortCondition ref="K1:K3"/>
  </sortState>
  <conditionalFormatting sqref="O1:O1048576">
    <cfRule type="cellIs" dxfId="19" priority="1" operator="equal">
      <formula>"Vencido"</formula>
    </cfRule>
    <cfRule type="cellIs" dxfId="18" priority="2" operator="equal">
      <formula>"Dentro do Prazo"</formula>
    </cfRule>
    <cfRule type="cellIs" dxfId="17" priority="3" operator="equal">
      <formula>"Concluído"</formula>
    </cfRule>
  </conditionalFormatting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472D6-9828-4EAA-BB02-1EE0C03DA563}">
  <sheetPr codeName="Planilha2"/>
  <dimension ref="A1"/>
  <sheetViews>
    <sheetView workbookViewId="0">
      <selection activeCell="T1" sqref="T1:T104857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LIMA Julio</dc:creator>
  <cp:lastModifiedBy>Júlio Lima</cp:lastModifiedBy>
  <dcterms:created xsi:type="dcterms:W3CDTF">2022-10-07T11:39:18Z</dcterms:created>
  <dcterms:modified xsi:type="dcterms:W3CDTF">2022-11-19T11:59:25Z</dcterms:modified>
</cp:coreProperties>
</file>